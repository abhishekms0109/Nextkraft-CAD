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his\OneDrive\Desktop\Nextkraft-CAD\Function_Ref\"/>
    </mc:Choice>
  </mc:AlternateContent>
  <xr:revisionPtr revIDLastSave="0" documentId="13_ncr:1_{DEAEFA6C-A234-4529-80B2-CD2796C661D4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OUTPUT" sheetId="1" r:id="rId1"/>
    <sheet name="INPUT" sheetId="2" r:id="rId2"/>
    <sheet name="DYNAMIC BLOCK PARMATER" sheetId="3" r:id="rId3"/>
  </sheets>
  <calcPr calcId="191029"/>
</workbook>
</file>

<file path=xl/calcChain.xml><?xml version="1.0" encoding="utf-8"?>
<calcChain xmlns="http://schemas.openxmlformats.org/spreadsheetml/2006/main">
  <c r="D9" i="3" l="1"/>
  <c r="C9" i="3"/>
  <c r="J5" i="3"/>
  <c r="L5" i="3" s="1"/>
  <c r="C5" i="3" s="1"/>
  <c r="F5" i="3"/>
  <c r="C6" i="3" l="1"/>
  <c r="H5" i="3"/>
  <c r="C3" i="1"/>
  <c r="C2" i="1"/>
  <c r="D7" i="3" l="1"/>
  <c r="D5" i="3"/>
  <c r="C15" i="2"/>
  <c r="C14" i="2" s="1"/>
  <c r="C20" i="2"/>
  <c r="C9" i="2"/>
  <c r="C12" i="2" l="1"/>
  <c r="C13" i="2" s="1"/>
  <c r="C12" i="1"/>
  <c r="C16" i="2"/>
  <c r="C11" i="1" l="1"/>
  <c r="C13" i="1" s="1"/>
  <c r="C17" i="2"/>
  <c r="C18" i="2" s="1"/>
  <c r="C19" i="2" s="1"/>
  <c r="C21" i="2"/>
</calcChain>
</file>

<file path=xl/sharedStrings.xml><?xml version="1.0" encoding="utf-8"?>
<sst xmlns="http://schemas.openxmlformats.org/spreadsheetml/2006/main" count="76" uniqueCount="49">
  <si>
    <t>SUV_LEVEL</t>
  </si>
  <si>
    <t>SEDAN_LEVEL</t>
  </si>
  <si>
    <t>SUV_SLOT</t>
  </si>
  <si>
    <t>PARAMETER</t>
  </si>
  <si>
    <t>VALUES</t>
  </si>
  <si>
    <t>CAR LENGTH (MM)</t>
  </si>
  <si>
    <t>CAR WIDTH (MM)</t>
  </si>
  <si>
    <t>CAR WEIGHT (KG)</t>
  </si>
  <si>
    <t>TOTAL CARS</t>
  </si>
  <si>
    <t>SUV CAR HEIGHT (MM)</t>
  </si>
  <si>
    <t>SEDAN CAR HEIGHT (MM)</t>
  </si>
  <si>
    <t>SUV CARS (NOS)</t>
  </si>
  <si>
    <t>SEDAN CARS</t>
  </si>
  <si>
    <t xml:space="preserve">TOWER PARKING </t>
  </si>
  <si>
    <t>HEIGHT AVAILABLE</t>
  </si>
  <si>
    <t xml:space="preserve">VALUE </t>
  </si>
  <si>
    <t>UNITS</t>
  </si>
  <si>
    <t>SUV CAR %</t>
  </si>
  <si>
    <t>SEDAN CAR %</t>
  </si>
  <si>
    <t>HEIGHT WASTAGES</t>
  </si>
  <si>
    <t>SUV LEVEL HEIGHT</t>
  </si>
  <si>
    <t>DEDAN LEVEL HEIGHT</t>
  </si>
  <si>
    <t>MM</t>
  </si>
  <si>
    <t>%</t>
  </si>
  <si>
    <t>EFFECTIVE HEIGHT</t>
  </si>
  <si>
    <t xml:space="preserve">SUV CARS </t>
  </si>
  <si>
    <t>NOS</t>
  </si>
  <si>
    <t>ACTUCAL %</t>
  </si>
  <si>
    <t>TOTAL NO OF CARS</t>
  </si>
  <si>
    <t>WIDTH AVAILABLE</t>
  </si>
  <si>
    <t>LENGTH AVAILABLE</t>
  </si>
  <si>
    <t>CAR LENGTH</t>
  </si>
  <si>
    <t>HEIGHT ON NO USE</t>
  </si>
  <si>
    <t>MANUAL ENTRY</t>
  </si>
  <si>
    <t>SEDAN_BLOCK</t>
  </si>
  <si>
    <t xml:space="preserve">DYNAMIC BLOCK NAME </t>
  </si>
  <si>
    <t xml:space="preserve">X PARMATER </t>
  </si>
  <si>
    <t>Y PARAMETER</t>
  </si>
  <si>
    <t>PALLET_DYN_BLOCK</t>
  </si>
  <si>
    <t>DIFFERNCE</t>
  </si>
  <si>
    <t>STD X PARMATER</t>
  </si>
  <si>
    <t>STD DIFFER</t>
  </si>
  <si>
    <t>COUNTER_WEIGHT_DYN_BLOCK</t>
  </si>
  <si>
    <t>TRANSPORTER_DYN_BLOCK</t>
  </si>
  <si>
    <t>STD Y PARMATER</t>
  </si>
  <si>
    <t>PALLET_DYN_BLOCK, COUNTER_WEIGHT_DYN_BLOCK,TRANSPORTER_DYN_BLOCK</t>
  </si>
  <si>
    <t>NEW VALUE</t>
  </si>
  <si>
    <t>RCC_BRACKET_DYN_BLOCK</t>
  </si>
  <si>
    <t>1x1 RCC_DYN_BLOCK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</si>
</sst>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2"/>
      <color theme="0"/>
      <name val="Trebuchet MS"/>
      <family val="2"/>
    </font>
    <font>
      <b/>
      <sz val="22"/>
      <color rgb="FF002060"/>
      <name val="Trebuchet MS"/>
      <family val="2"/>
    </font>
    <font>
      <b/>
      <sz val="22"/>
      <color theme="1"/>
      <name val="Trebuchet MS"/>
      <family val="2"/>
    </font>
    <font>
      <b/>
      <sz val="24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4"/>
      <color rgb="FF002060"/>
      <name val="Trebuchet MS"/>
      <family val="2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 style="thin">
        <color rgb="FF006666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006666"/>
      </left>
      <right style="thin">
        <color rgb="FF006666"/>
      </right>
      <top/>
      <bottom style="thin">
        <color rgb="FF006666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2" xfId="0" applyBorder="1" applyAlignment="1">
      <alignment horizontal="center" vertical="center"/>
    </xf>
    <xf numFmtId="0" fontId="0" fillId="0" borderId="4" xfId="0" applyBorder="1"/>
    <xf numFmtId="0" fontId="0" fillId="0" borderId="3" xfId="0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14" fontId="0" fillId="0" borderId="9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2" fillId="4" borderId="2" xfId="0" applyFont="1" applyFill="1" applyBorder="1"/>
    <xf numFmtId="0" fontId="2" fillId="4" borderId="2" xfId="0" applyFont="1" applyFill="1" applyBorder="1" applyAlignment="1">
      <alignment horizontal="center" vertical="center"/>
    </xf>
    <xf numFmtId="0" fontId="3" fillId="2" borderId="12" xfId="0" applyFont="1" applyFill="1" applyBorder="1"/>
    <xf numFmtId="0" fontId="3" fillId="2" borderId="7" xfId="0" applyFont="1" applyFill="1" applyBorder="1"/>
    <xf numFmtId="0" fontId="4" fillId="3" borderId="12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1" fillId="5" borderId="0" xfId="0" applyFont="1" applyFill="1" applyAlignment="1">
      <alignment vertical="center"/>
    </xf>
    <xf numFmtId="0" fontId="0" fillId="5" borderId="10" xfId="0" applyFill="1" applyBorder="1"/>
    <xf numFmtId="0" fontId="7" fillId="7" borderId="2" xfId="0" applyFont="1" applyFill="1" applyBorder="1"/>
    <xf numFmtId="0" fontId="7" fillId="7" borderId="2" xfId="0" applyFont="1" applyFill="1" applyBorder="1" applyAlignment="1">
      <alignment horizontal="center" vertical="center"/>
    </xf>
    <xf numFmtId="0" fontId="8" fillId="2" borderId="12" xfId="0" applyFont="1" applyFill="1" applyBorder="1"/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8" fillId="2" borderId="7" xfId="0" applyFont="1" applyFill="1" applyBorder="1"/>
    <xf numFmtId="0" fontId="6" fillId="3" borderId="15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" xfId="0" applyFont="1" applyFill="1" applyBorder="1"/>
    <xf numFmtId="9" fontId="6" fillId="3" borderId="14" xfId="0" applyNumberFormat="1" applyFont="1" applyFill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10" fillId="0" borderId="1" xfId="0" applyFont="1" applyBorder="1"/>
    <xf numFmtId="0" fontId="0" fillId="8" borderId="1" xfId="0" applyFill="1" applyBorder="1" applyAlignment="1">
      <alignment horizontal="center" vertical="center"/>
    </xf>
    <xf numFmtId="0" fontId="0" fillId="8" borderId="1" xfId="0" applyFill="1" applyBorder="1"/>
    <xf numFmtId="0" fontId="0" fillId="8" borderId="0" xfId="0" applyFill="1"/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/>
    <xf numFmtId="0" fontId="10" fillId="8" borderId="1" xfId="0" applyFont="1" applyFill="1" applyBorder="1"/>
    <xf numFmtId="0" fontId="11" fillId="8" borderId="1" xfId="0" applyFont="1" applyFill="1" applyBorder="1"/>
    <xf numFmtId="0" fontId="5" fillId="6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0066"/>
      <color rgb="FF008080"/>
      <color rgb="FF006666"/>
      <color rgb="FF33CCCC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320040</xdr:colOff>
          <xdr:row>5</xdr:row>
          <xdr:rowOff>274320</xdr:rowOff>
        </xdr:from>
        <xdr:to>
          <xdr:col>6</xdr:col>
          <xdr:colOff>670560</xdr:colOff>
          <xdr:row>7</xdr:row>
          <xdr:rowOff>297180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1126954</xdr:colOff>
      <xdr:row>0</xdr:row>
      <xdr:rowOff>7620</xdr:rowOff>
    </xdr:from>
    <xdr:to>
      <xdr:col>3</xdr:col>
      <xdr:colOff>1120140</xdr:colOff>
      <xdr:row>1</xdr:row>
      <xdr:rowOff>167640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0794" y="7620"/>
          <a:ext cx="2142026" cy="5867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38"/>
  <sheetViews>
    <sheetView workbookViewId="0">
      <selection activeCell="G9" sqref="G9"/>
    </sheetView>
  </sheetViews>
  <sheetFormatPr defaultRowHeight="14.4" x14ac:dyDescent="0.3"/>
  <cols>
    <col min="2" max="2" width="51.5546875" customWidth="1"/>
    <col min="3" max="3" width="43.77734375" style="1" customWidth="1"/>
    <col min="6" max="6" width="31.5546875" customWidth="1"/>
    <col min="7" max="7" width="21" customWidth="1"/>
  </cols>
  <sheetData>
    <row r="1" spans="1:21" ht="28.8" x14ac:dyDescent="0.55000000000000004">
      <c r="A1" s="2"/>
      <c r="B1" s="13" t="s">
        <v>3</v>
      </c>
      <c r="C1" s="14" t="s">
        <v>4</v>
      </c>
      <c r="D1" s="2"/>
      <c r="E1" s="2"/>
      <c r="F1" s="13" t="s">
        <v>33</v>
      </c>
      <c r="G1" s="14" t="s">
        <v>4</v>
      </c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1:21" ht="28.8" x14ac:dyDescent="0.55000000000000004">
      <c r="A2" s="3"/>
      <c r="B2" s="15" t="s">
        <v>1</v>
      </c>
      <c r="C2" s="17">
        <f>G2</f>
        <v>16</v>
      </c>
      <c r="D2" s="8"/>
      <c r="E2" s="2"/>
      <c r="F2" s="15" t="s">
        <v>1</v>
      </c>
      <c r="G2" s="17">
        <v>16</v>
      </c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1:21" ht="28.8" x14ac:dyDescent="0.55000000000000004">
      <c r="A3" s="3"/>
      <c r="B3" s="16" t="s">
        <v>0</v>
      </c>
      <c r="C3" s="17">
        <f>G3</f>
        <v>4</v>
      </c>
      <c r="D3" s="8"/>
      <c r="E3" s="2"/>
      <c r="F3" s="16" t="s">
        <v>0</v>
      </c>
      <c r="G3" s="18">
        <v>4</v>
      </c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1:21" ht="28.8" x14ac:dyDescent="0.55000000000000004">
      <c r="A4" s="3"/>
      <c r="B4" s="16" t="s">
        <v>34</v>
      </c>
      <c r="C4" s="18">
        <v>1900</v>
      </c>
      <c r="D4" s="8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1:21" ht="28.8" x14ac:dyDescent="0.55000000000000004">
      <c r="A5" s="3"/>
      <c r="B5" s="16" t="s">
        <v>2</v>
      </c>
      <c r="C5" s="18">
        <v>2000</v>
      </c>
      <c r="D5" s="8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1:21" ht="28.8" x14ac:dyDescent="0.55000000000000004">
      <c r="A6" s="3"/>
      <c r="B6" s="16" t="s">
        <v>5</v>
      </c>
      <c r="C6" s="18">
        <v>4800</v>
      </c>
      <c r="D6" s="8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1:21" ht="28.8" x14ac:dyDescent="0.55000000000000004">
      <c r="A7" s="3"/>
      <c r="B7" s="16" t="s">
        <v>6</v>
      </c>
      <c r="C7" s="18">
        <v>1850</v>
      </c>
      <c r="D7" s="8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1:21" ht="28.8" x14ac:dyDescent="0.55000000000000004">
      <c r="A8" s="3"/>
      <c r="B8" s="16" t="s">
        <v>7</v>
      </c>
      <c r="C8" s="18">
        <v>2000</v>
      </c>
      <c r="D8" s="8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1:21" ht="28.8" x14ac:dyDescent="0.55000000000000004">
      <c r="A9" s="3"/>
      <c r="B9" s="16" t="s">
        <v>9</v>
      </c>
      <c r="C9" s="18">
        <v>1850</v>
      </c>
      <c r="D9" s="8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1:21" ht="28.8" x14ac:dyDescent="0.55000000000000004">
      <c r="A10" s="3"/>
      <c r="B10" s="16" t="s">
        <v>10</v>
      </c>
      <c r="C10" s="18">
        <v>1650</v>
      </c>
      <c r="D10" s="8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1:21" ht="28.8" x14ac:dyDescent="0.55000000000000004">
      <c r="A11" s="3"/>
      <c r="B11" s="16" t="s">
        <v>11</v>
      </c>
      <c r="C11" s="18">
        <f>C2*2</f>
        <v>32</v>
      </c>
      <c r="D11" s="8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1:21" ht="28.8" x14ac:dyDescent="0.55000000000000004">
      <c r="A12" s="3"/>
      <c r="B12" s="16" t="s">
        <v>11</v>
      </c>
      <c r="C12" s="18">
        <f>C3*2</f>
        <v>8</v>
      </c>
      <c r="D12" s="8"/>
      <c r="E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1:21" ht="28.8" x14ac:dyDescent="0.55000000000000004">
      <c r="A13" s="3"/>
      <c r="B13" s="16" t="s">
        <v>8</v>
      </c>
      <c r="C13" s="18">
        <f>C11+C12</f>
        <v>40</v>
      </c>
      <c r="D13" s="8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1:21" x14ac:dyDescent="0.3">
      <c r="A14" s="3"/>
      <c r="B14" s="7"/>
      <c r="C14" s="9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1:21" x14ac:dyDescent="0.3">
      <c r="A15" s="3"/>
      <c r="B15" s="3"/>
      <c r="C15" s="4"/>
      <c r="D15" s="8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1:21" x14ac:dyDescent="0.3">
      <c r="A16" s="5"/>
      <c r="B16" s="5"/>
      <c r="C16" s="10"/>
      <c r="D16" s="8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1:21" x14ac:dyDescent="0.3">
      <c r="A17" s="2"/>
      <c r="B17" s="3"/>
      <c r="C17" s="4"/>
      <c r="D17" s="8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1:21" x14ac:dyDescent="0.3">
      <c r="A18" s="2"/>
      <c r="B18" s="3"/>
      <c r="C18" s="4"/>
      <c r="D18" s="8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1:21" x14ac:dyDescent="0.3">
      <c r="A19" s="2"/>
      <c r="B19" s="3"/>
      <c r="C19" s="4"/>
      <c r="D19" s="8"/>
      <c r="E19" s="7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1:21" x14ac:dyDescent="0.3">
      <c r="A20" s="2"/>
      <c r="B20" s="2"/>
      <c r="C20" s="6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1:21" x14ac:dyDescent="0.3">
      <c r="A21" s="2"/>
      <c r="B21" s="2"/>
      <c r="C21" s="6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1:21" x14ac:dyDescent="0.3">
      <c r="A22" s="2"/>
      <c r="B22" s="2"/>
      <c r="C22" s="6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1:21" x14ac:dyDescent="0.3">
      <c r="A23" s="2"/>
      <c r="B23" s="2"/>
      <c r="C23" s="6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1:21" x14ac:dyDescent="0.3">
      <c r="A24" s="2"/>
      <c r="B24" s="2"/>
      <c r="C24" s="6"/>
      <c r="D24" s="7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1:21" x14ac:dyDescent="0.3">
      <c r="A25" s="2"/>
      <c r="B25" s="2"/>
      <c r="C25" s="6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1:21" x14ac:dyDescent="0.3">
      <c r="A26" s="2"/>
      <c r="B26" s="2"/>
      <c r="C26" s="6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1:21" x14ac:dyDescent="0.3">
      <c r="A27" s="2"/>
      <c r="B27" s="2"/>
      <c r="C27" s="6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1:21" x14ac:dyDescent="0.3">
      <c r="A28" s="2"/>
      <c r="B28" s="2"/>
      <c r="C28" s="6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1:21" x14ac:dyDescent="0.3">
      <c r="A29" s="2"/>
      <c r="B29" s="2"/>
      <c r="C29" s="6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1:21" x14ac:dyDescent="0.3">
      <c r="A30" s="2"/>
      <c r="B30" s="2"/>
      <c r="C30" s="6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1:21" x14ac:dyDescent="0.3">
      <c r="A31" s="2"/>
      <c r="B31" s="2"/>
      <c r="C31" s="4"/>
      <c r="D31" s="7"/>
      <c r="E31" s="7"/>
      <c r="F31" s="7"/>
      <c r="G31" s="7"/>
      <c r="H31" s="7"/>
      <c r="I31" s="7"/>
    </row>
    <row r="32" spans="1:21" x14ac:dyDescent="0.3">
      <c r="A32" s="2"/>
      <c r="B32" s="2"/>
      <c r="C32" s="4"/>
      <c r="D32" s="2"/>
      <c r="E32" s="2"/>
      <c r="F32" s="2"/>
      <c r="G32" s="2"/>
      <c r="H32" s="2"/>
      <c r="I32" s="2"/>
    </row>
    <row r="33" spans="1:9" x14ac:dyDescent="0.3">
      <c r="A33" s="2"/>
      <c r="B33" s="2"/>
      <c r="C33" s="4"/>
      <c r="D33" s="2"/>
      <c r="E33" s="2"/>
      <c r="F33" s="2"/>
      <c r="G33" s="2"/>
      <c r="H33" s="2"/>
      <c r="I33" s="2"/>
    </row>
    <row r="34" spans="1:9" x14ac:dyDescent="0.3">
      <c r="A34" s="2"/>
      <c r="B34" s="2"/>
      <c r="C34" s="4"/>
      <c r="D34" s="2"/>
      <c r="E34" s="2"/>
      <c r="F34" s="2"/>
      <c r="G34" s="2"/>
      <c r="H34" s="2"/>
      <c r="I34" s="2"/>
    </row>
    <row r="35" spans="1:9" x14ac:dyDescent="0.3">
      <c r="A35" s="2"/>
      <c r="B35" s="2"/>
      <c r="C35" s="4"/>
      <c r="D35" s="2"/>
      <c r="E35" s="2"/>
      <c r="F35" s="2"/>
      <c r="G35" s="2"/>
      <c r="H35" s="2"/>
      <c r="I35" s="2"/>
    </row>
    <row r="36" spans="1:9" x14ac:dyDescent="0.3">
      <c r="A36" s="2"/>
      <c r="B36" s="2"/>
      <c r="C36" s="4"/>
      <c r="D36" s="2"/>
      <c r="E36" s="2"/>
      <c r="F36" s="2"/>
      <c r="G36" s="2"/>
      <c r="H36" s="2"/>
      <c r="I36" s="2"/>
    </row>
    <row r="37" spans="1:9" x14ac:dyDescent="0.3">
      <c r="A37" s="2"/>
      <c r="B37" s="2"/>
      <c r="C37" s="4"/>
      <c r="D37" s="2"/>
      <c r="E37" s="2"/>
      <c r="F37" s="2"/>
      <c r="G37" s="2"/>
      <c r="H37" s="2"/>
      <c r="I37" s="2"/>
    </row>
    <row r="38" spans="1:9" x14ac:dyDescent="0.3">
      <c r="A38" s="2"/>
      <c r="B38" s="2"/>
      <c r="C38" s="4"/>
      <c r="D38" s="2"/>
      <c r="E38" s="2"/>
      <c r="F38" s="2"/>
      <c r="G38" s="2"/>
      <c r="H38" s="2"/>
      <c r="I38" s="2"/>
    </row>
  </sheetData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Button6_Click">
                <anchor moveWithCells="1" sizeWithCells="1">
                  <from>
                    <xdr:col>5</xdr:col>
                    <xdr:colOff>320040</xdr:colOff>
                    <xdr:row>5</xdr:row>
                    <xdr:rowOff>274320</xdr:rowOff>
                  </from>
                  <to>
                    <xdr:col>6</xdr:col>
                    <xdr:colOff>670560</xdr:colOff>
                    <xdr:row>7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B79"/>
  <sheetViews>
    <sheetView tabSelected="1" zoomScale="85" zoomScaleNormal="85" workbookViewId="0">
      <selection activeCell="C7" sqref="C7"/>
    </sheetView>
  </sheetViews>
  <sheetFormatPr defaultRowHeight="14.4" x14ac:dyDescent="0.3"/>
  <cols>
    <col min="2" max="2" width="50.21875" customWidth="1"/>
    <col min="3" max="3" width="31.33203125" style="1" customWidth="1"/>
    <col min="4" max="4" width="24.33203125" style="1" customWidth="1"/>
  </cols>
  <sheetData>
    <row r="1" spans="1:28" ht="33.6" customHeight="1" x14ac:dyDescent="0.3">
      <c r="A1" s="11"/>
      <c r="B1" s="42" t="s">
        <v>13</v>
      </c>
      <c r="C1" s="42"/>
      <c r="D1" s="42"/>
      <c r="E1" s="19"/>
      <c r="F1" s="19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</row>
    <row r="2" spans="1:28" ht="21" customHeight="1" x14ac:dyDescent="0.3">
      <c r="A2" s="11"/>
      <c r="B2" s="42"/>
      <c r="C2" s="42"/>
      <c r="D2" s="42"/>
      <c r="E2" s="19"/>
      <c r="F2" s="19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</row>
    <row r="3" spans="1:28" ht="31.2" x14ac:dyDescent="0.6">
      <c r="A3" s="11"/>
      <c r="B3" s="21" t="s">
        <v>3</v>
      </c>
      <c r="C3" s="22" t="s">
        <v>15</v>
      </c>
      <c r="D3" s="22" t="s">
        <v>16</v>
      </c>
      <c r="E3" s="20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</row>
    <row r="4" spans="1:28" ht="27" customHeight="1" x14ac:dyDescent="0.55000000000000004">
      <c r="A4" s="11"/>
      <c r="B4" s="23" t="s">
        <v>30</v>
      </c>
      <c r="C4" s="24">
        <v>6500</v>
      </c>
      <c r="D4" s="24" t="s">
        <v>22</v>
      </c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</row>
    <row r="5" spans="1:28" ht="27" customHeight="1" x14ac:dyDescent="0.55000000000000004">
      <c r="A5" s="11"/>
      <c r="B5" s="23" t="s">
        <v>29</v>
      </c>
      <c r="C5" s="24">
        <v>8000</v>
      </c>
      <c r="D5" s="24" t="s">
        <v>22</v>
      </c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</row>
    <row r="6" spans="1:28" ht="31.2" x14ac:dyDescent="0.55000000000000004">
      <c r="A6" s="11"/>
      <c r="B6" s="23" t="s">
        <v>14</v>
      </c>
      <c r="C6" s="24">
        <v>40000</v>
      </c>
      <c r="D6" s="24" t="s">
        <v>22</v>
      </c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</row>
    <row r="7" spans="1:28" ht="31.2" x14ac:dyDescent="0.55000000000000004">
      <c r="A7" s="11"/>
      <c r="B7" s="23" t="s">
        <v>17</v>
      </c>
      <c r="C7" s="31">
        <v>0.35</v>
      </c>
      <c r="D7" s="26" t="s">
        <v>23</v>
      </c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</row>
    <row r="8" spans="1:28" ht="31.2" x14ac:dyDescent="0.55000000000000004">
      <c r="A8" s="11"/>
      <c r="B8" s="23" t="s">
        <v>18</v>
      </c>
      <c r="C8" s="25">
        <v>65</v>
      </c>
      <c r="D8" s="26" t="s">
        <v>23</v>
      </c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</row>
    <row r="9" spans="1:28" ht="31.2" x14ac:dyDescent="0.55000000000000004">
      <c r="A9" s="11"/>
      <c r="B9" s="23" t="s">
        <v>19</v>
      </c>
      <c r="C9" s="25">
        <f>3000+2500+(3200-1800)</f>
        <v>6900</v>
      </c>
      <c r="D9" s="26" t="s">
        <v>22</v>
      </c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</row>
    <row r="10" spans="1:28" ht="31.2" x14ac:dyDescent="0.55000000000000004">
      <c r="A10" s="11"/>
      <c r="B10" s="23" t="s">
        <v>20</v>
      </c>
      <c r="C10" s="25">
        <v>2100</v>
      </c>
      <c r="D10" s="26" t="s">
        <v>22</v>
      </c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</row>
    <row r="11" spans="1:28" ht="31.2" x14ac:dyDescent="0.55000000000000004">
      <c r="A11" s="11"/>
      <c r="B11" s="23" t="s">
        <v>21</v>
      </c>
      <c r="C11" s="26">
        <v>1800</v>
      </c>
      <c r="D11" s="26" t="s">
        <v>22</v>
      </c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</row>
    <row r="12" spans="1:28" ht="31.2" hidden="1" x14ac:dyDescent="0.55000000000000004">
      <c r="A12" s="11"/>
      <c r="B12" s="23" t="s">
        <v>1</v>
      </c>
      <c r="C12" s="26">
        <f>((C15-(C14*C10))/C11)</f>
        <v>10.222222222222221</v>
      </c>
      <c r="D12" s="26" t="s">
        <v>26</v>
      </c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</row>
    <row r="13" spans="1:28" ht="31.2" x14ac:dyDescent="0.55000000000000004">
      <c r="A13" s="11"/>
      <c r="B13" s="23" t="s">
        <v>1</v>
      </c>
      <c r="C13" s="26">
        <f>IF(C12-INT(C12)&gt;=0.9, INT(C12)+1, INT(C12))</f>
        <v>10</v>
      </c>
      <c r="D13" s="26" t="s">
        <v>26</v>
      </c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</row>
    <row r="14" spans="1:28" ht="31.2" x14ac:dyDescent="0.55000000000000004">
      <c r="A14" s="11"/>
      <c r="B14" s="27" t="s">
        <v>0</v>
      </c>
      <c r="C14" s="26">
        <f>ROUNDUP(C15/(C10+C11*(1-C7)/C7),0)</f>
        <v>7</v>
      </c>
      <c r="D14" s="26" t="s">
        <v>26</v>
      </c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</row>
    <row r="15" spans="1:28" ht="31.2" x14ac:dyDescent="0.55000000000000004">
      <c r="A15" s="11"/>
      <c r="B15" s="27" t="s">
        <v>24</v>
      </c>
      <c r="C15" s="26">
        <f>C6-C9</f>
        <v>33100</v>
      </c>
      <c r="D15" s="26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</row>
    <row r="16" spans="1:28" ht="31.2" x14ac:dyDescent="0.55000000000000004">
      <c r="A16" s="11"/>
      <c r="B16" s="27" t="s">
        <v>25</v>
      </c>
      <c r="C16" s="26">
        <f>C14*2</f>
        <v>14</v>
      </c>
      <c r="D16" s="26" t="s">
        <v>26</v>
      </c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</row>
    <row r="17" spans="1:28" ht="31.2" x14ac:dyDescent="0.55000000000000004">
      <c r="A17" s="11"/>
      <c r="B17" s="27" t="s">
        <v>12</v>
      </c>
      <c r="C17" s="28">
        <f>C13*2</f>
        <v>20</v>
      </c>
      <c r="D17" s="28" t="s">
        <v>26</v>
      </c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</row>
    <row r="18" spans="1:28" ht="31.2" x14ac:dyDescent="0.55000000000000004">
      <c r="A18" s="11"/>
      <c r="B18" s="27" t="s">
        <v>28</v>
      </c>
      <c r="C18" s="29">
        <f>C16+C17</f>
        <v>34</v>
      </c>
      <c r="D18" s="29" t="s">
        <v>26</v>
      </c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</row>
    <row r="19" spans="1:28" ht="31.2" x14ac:dyDescent="0.6">
      <c r="A19" s="11"/>
      <c r="B19" s="27" t="s">
        <v>27</v>
      </c>
      <c r="C19" s="30">
        <f>IF(C18=0,"",(C16/C18)*100)</f>
        <v>41.17647058823529</v>
      </c>
      <c r="D19" s="29" t="s">
        <v>23</v>
      </c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</row>
    <row r="20" spans="1:28" ht="31.2" hidden="1" x14ac:dyDescent="0.55000000000000004">
      <c r="A20" s="11"/>
      <c r="B20" s="27" t="s">
        <v>31</v>
      </c>
      <c r="C20" s="29">
        <f>C4-1500</f>
        <v>5000</v>
      </c>
      <c r="D20" s="29" t="s">
        <v>22</v>
      </c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</row>
    <row r="21" spans="1:28" ht="31.2" x14ac:dyDescent="0.6">
      <c r="A21" s="11"/>
      <c r="B21" s="27" t="s">
        <v>32</v>
      </c>
      <c r="C21" s="30">
        <f>C15-((C14*C10)+(C13*C11))</f>
        <v>400</v>
      </c>
      <c r="D21" s="29" t="s">
        <v>22</v>
      </c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</row>
    <row r="22" spans="1:28" x14ac:dyDescent="0.3">
      <c r="A22" s="11"/>
      <c r="B22" s="11"/>
      <c r="C22" s="11"/>
      <c r="D22" s="12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</row>
    <row r="23" spans="1:28" x14ac:dyDescent="0.3">
      <c r="A23" s="11"/>
      <c r="B23" s="11"/>
      <c r="C23" s="11"/>
      <c r="D23" s="12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</row>
    <row r="24" spans="1:28" x14ac:dyDescent="0.3">
      <c r="A24" s="11"/>
      <c r="B24" s="11"/>
      <c r="C24" s="11"/>
      <c r="D24" s="12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</row>
    <row r="25" spans="1:28" x14ac:dyDescent="0.3">
      <c r="A25" s="11"/>
      <c r="B25" s="11"/>
      <c r="C25" s="11"/>
      <c r="D25" s="12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</row>
    <row r="26" spans="1:28" x14ac:dyDescent="0.3">
      <c r="A26" s="11"/>
      <c r="B26" s="11"/>
      <c r="C26" s="11"/>
      <c r="D26" s="12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</row>
    <row r="27" spans="1:28" x14ac:dyDescent="0.3">
      <c r="A27" s="11"/>
      <c r="B27" s="11"/>
      <c r="C27" s="11"/>
      <c r="D27" s="12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</row>
    <row r="28" spans="1:28" x14ac:dyDescent="0.3">
      <c r="A28" s="11"/>
      <c r="B28" s="11"/>
      <c r="C28" s="11"/>
      <c r="D28" s="12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</row>
    <row r="29" spans="1:28" x14ac:dyDescent="0.3">
      <c r="A29" s="11"/>
      <c r="B29" s="11"/>
      <c r="C29" s="11"/>
      <c r="D29" s="12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</row>
    <row r="30" spans="1:28" x14ac:dyDescent="0.3">
      <c r="A30" s="11"/>
      <c r="B30" s="11"/>
      <c r="C30" s="11"/>
      <c r="D30" s="12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</row>
    <row r="31" spans="1:28" x14ac:dyDescent="0.3">
      <c r="A31" s="11"/>
      <c r="B31" s="11"/>
      <c r="C31" s="11"/>
      <c r="D31" s="12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</row>
    <row r="32" spans="1:28" x14ac:dyDescent="0.3">
      <c r="A32" s="11"/>
      <c r="B32" s="11"/>
      <c r="C32" s="11"/>
      <c r="D32" s="12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</row>
    <row r="33" spans="1:27" x14ac:dyDescent="0.3">
      <c r="A33" s="11"/>
      <c r="B33" s="11"/>
      <c r="C33" s="11"/>
      <c r="D33" s="12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</row>
    <row r="34" spans="1:27" x14ac:dyDescent="0.3">
      <c r="A34" s="11"/>
      <c r="B34" s="11"/>
      <c r="C34" s="11"/>
      <c r="D34" s="12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</row>
    <row r="35" spans="1:27" x14ac:dyDescent="0.3">
      <c r="A35" s="11"/>
      <c r="B35" s="11"/>
      <c r="C35" s="11"/>
      <c r="D35" s="12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</row>
    <row r="36" spans="1:27" x14ac:dyDescent="0.3">
      <c r="A36" s="11"/>
      <c r="B36" s="11"/>
      <c r="C36" s="11"/>
      <c r="D36" s="12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</row>
    <row r="37" spans="1:27" x14ac:dyDescent="0.3">
      <c r="A37" s="11"/>
      <c r="B37" s="11"/>
      <c r="C37" s="11"/>
      <c r="D37" s="12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</row>
    <row r="38" spans="1:27" x14ac:dyDescent="0.3">
      <c r="A38" s="11"/>
      <c r="B38" s="11"/>
      <c r="C38" s="11"/>
      <c r="D38" s="12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</row>
    <row r="39" spans="1:27" x14ac:dyDescent="0.3">
      <c r="A39" s="11"/>
      <c r="B39" s="11"/>
      <c r="C39" s="11"/>
      <c r="D39" s="12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</row>
    <row r="40" spans="1:27" x14ac:dyDescent="0.3">
      <c r="A40" s="11"/>
      <c r="B40" s="11"/>
      <c r="C40" s="11"/>
      <c r="D40" s="12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</row>
    <row r="41" spans="1:27" x14ac:dyDescent="0.3">
      <c r="A41" s="11"/>
      <c r="B41" s="11"/>
      <c r="C41" s="11"/>
      <c r="D41" s="12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</row>
    <row r="42" spans="1:27" x14ac:dyDescent="0.3">
      <c r="A42" s="11"/>
      <c r="B42" s="11"/>
      <c r="C42" s="11"/>
      <c r="D42" s="12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</row>
    <row r="43" spans="1:27" x14ac:dyDescent="0.3">
      <c r="A43" s="11"/>
      <c r="B43" s="11"/>
      <c r="C43" s="11"/>
      <c r="D43" s="12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</row>
    <row r="44" spans="1:27" x14ac:dyDescent="0.3">
      <c r="A44" s="11"/>
      <c r="B44" s="11"/>
      <c r="C44" s="11"/>
      <c r="D44" s="12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</row>
    <row r="45" spans="1:27" x14ac:dyDescent="0.3">
      <c r="A45" s="11"/>
      <c r="B45" s="11"/>
      <c r="C45" s="11"/>
      <c r="D45" s="12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</row>
    <row r="46" spans="1:27" x14ac:dyDescent="0.3">
      <c r="A46" s="11"/>
      <c r="B46" s="11"/>
      <c r="C46" s="11"/>
      <c r="D46" s="12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</row>
    <row r="47" spans="1:27" x14ac:dyDescent="0.3">
      <c r="A47" s="11"/>
      <c r="B47" s="11"/>
      <c r="C47" s="11"/>
      <c r="D47" s="12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</row>
    <row r="48" spans="1:27" x14ac:dyDescent="0.3">
      <c r="A48" s="11"/>
      <c r="B48" s="11"/>
      <c r="C48" s="11"/>
      <c r="D48" s="12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</row>
    <row r="49" spans="1:27" x14ac:dyDescent="0.3">
      <c r="A49" s="11"/>
      <c r="B49" s="11"/>
      <c r="C49" s="11"/>
      <c r="D49" s="12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</row>
    <row r="50" spans="1:27" x14ac:dyDescent="0.3">
      <c r="A50" s="11"/>
      <c r="B50" s="11"/>
      <c r="C50" s="11"/>
      <c r="D50" s="12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</row>
    <row r="51" spans="1:27" x14ac:dyDescent="0.3">
      <c r="A51" s="11"/>
      <c r="B51" s="11"/>
      <c r="C51" s="11"/>
      <c r="D51" s="12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</row>
    <row r="52" spans="1:27" x14ac:dyDescent="0.3">
      <c r="A52" s="11"/>
      <c r="B52" s="11"/>
      <c r="C52" s="11"/>
      <c r="D52" s="12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</row>
    <row r="53" spans="1:27" x14ac:dyDescent="0.3">
      <c r="A53" s="11"/>
      <c r="B53" s="11"/>
      <c r="C53" s="11"/>
      <c r="D53" s="12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</row>
    <row r="54" spans="1:27" x14ac:dyDescent="0.3">
      <c r="A54" s="11"/>
      <c r="B54" s="11"/>
      <c r="C54" s="11"/>
      <c r="D54" s="12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</row>
    <row r="55" spans="1:27" x14ac:dyDescent="0.3">
      <c r="A55" s="11"/>
      <c r="B55" s="11"/>
      <c r="C55" s="11"/>
      <c r="D55" s="12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</row>
    <row r="56" spans="1:27" x14ac:dyDescent="0.3">
      <c r="A56" s="11"/>
      <c r="B56" s="11"/>
      <c r="C56" s="11"/>
      <c r="D56" s="12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</row>
    <row r="57" spans="1:27" x14ac:dyDescent="0.3">
      <c r="A57" s="11"/>
      <c r="B57" s="11"/>
      <c r="C57" s="11"/>
      <c r="D57" s="12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</row>
    <row r="58" spans="1:27" x14ac:dyDescent="0.3">
      <c r="A58" s="11"/>
      <c r="B58" s="11"/>
      <c r="C58" s="11"/>
      <c r="D58" s="12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</row>
    <row r="59" spans="1:27" x14ac:dyDescent="0.3">
      <c r="A59" s="11"/>
      <c r="B59" s="11"/>
      <c r="C59" s="11"/>
      <c r="D59" s="12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</row>
    <row r="60" spans="1:27" x14ac:dyDescent="0.3">
      <c r="A60" s="11"/>
      <c r="B60" s="11"/>
      <c r="C60" s="11"/>
      <c r="D60" s="12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</row>
    <row r="61" spans="1:27" x14ac:dyDescent="0.3">
      <c r="A61" s="11"/>
      <c r="B61" s="11"/>
      <c r="C61" s="11"/>
      <c r="D61" s="12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</row>
    <row r="62" spans="1:27" x14ac:dyDescent="0.3">
      <c r="A62" s="11"/>
      <c r="B62" s="11"/>
      <c r="C62" s="11"/>
      <c r="D62" s="12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</row>
    <row r="63" spans="1:27" x14ac:dyDescent="0.3">
      <c r="A63" s="11"/>
      <c r="B63" s="11"/>
      <c r="C63" s="11"/>
      <c r="D63" s="12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</row>
    <row r="64" spans="1:27" x14ac:dyDescent="0.3">
      <c r="A64" s="11"/>
      <c r="B64" s="11"/>
      <c r="C64" s="11"/>
      <c r="D64" s="12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</row>
    <row r="65" spans="1:27" x14ac:dyDescent="0.3">
      <c r="A65" s="11"/>
      <c r="B65" s="11"/>
      <c r="C65" s="11"/>
      <c r="D65" s="12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</row>
    <row r="66" spans="1:27" x14ac:dyDescent="0.3">
      <c r="A66" s="11"/>
      <c r="B66" s="11"/>
      <c r="C66" s="11"/>
      <c r="D66" s="12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</row>
    <row r="67" spans="1:27" x14ac:dyDescent="0.3">
      <c r="A67" s="11"/>
      <c r="B67" s="11"/>
      <c r="C67" s="11"/>
      <c r="D67" s="12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</row>
    <row r="68" spans="1:27" x14ac:dyDescent="0.3">
      <c r="A68" s="11"/>
      <c r="B68" s="11"/>
      <c r="C68" s="11"/>
      <c r="D68" s="12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</row>
    <row r="69" spans="1:27" x14ac:dyDescent="0.3">
      <c r="A69" s="11"/>
      <c r="B69" s="11"/>
      <c r="C69" s="11"/>
      <c r="D69" s="12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</row>
    <row r="70" spans="1:27" x14ac:dyDescent="0.3">
      <c r="A70" s="11"/>
      <c r="B70" s="11"/>
      <c r="C70" s="11"/>
      <c r="D70" s="12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</row>
    <row r="71" spans="1:27" x14ac:dyDescent="0.3">
      <c r="A71" s="11"/>
      <c r="B71" s="11"/>
      <c r="C71" s="11"/>
      <c r="D71" s="12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</row>
    <row r="72" spans="1:27" x14ac:dyDescent="0.3">
      <c r="A72" s="11"/>
      <c r="B72" s="11"/>
      <c r="C72" s="11"/>
      <c r="D72" s="12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</row>
    <row r="73" spans="1:27" x14ac:dyDescent="0.3">
      <c r="A73" s="11"/>
      <c r="B73" s="11"/>
      <c r="C73" s="11"/>
      <c r="D73" s="12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</row>
    <row r="74" spans="1:27" x14ac:dyDescent="0.3">
      <c r="A74" s="11"/>
      <c r="B74" s="11"/>
      <c r="C74" s="11"/>
      <c r="D74" s="12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</row>
    <row r="75" spans="1:27" x14ac:dyDescent="0.3">
      <c r="A75" s="11"/>
      <c r="B75" s="11"/>
      <c r="C75" s="11"/>
      <c r="D75" s="12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</row>
    <row r="76" spans="1:27" x14ac:dyDescent="0.3">
      <c r="A76" s="11"/>
      <c r="B76" s="11"/>
      <c r="C76" s="11"/>
      <c r="D76" s="12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</row>
    <row r="77" spans="1:27" x14ac:dyDescent="0.3">
      <c r="A77" s="11"/>
      <c r="B77" s="11"/>
      <c r="C77" s="11"/>
      <c r="D77" s="12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</row>
    <row r="78" spans="1:27" x14ac:dyDescent="0.3">
      <c r="A78" s="11"/>
      <c r="B78" s="11"/>
      <c r="C78" s="11"/>
      <c r="D78" s="12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</row>
    <row r="79" spans="1:27" x14ac:dyDescent="0.3">
      <c r="A79" s="11"/>
      <c r="B79" s="11"/>
      <c r="C79" s="11"/>
      <c r="D79" s="12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</row>
  </sheetData>
  <mergeCells count="1">
    <mergeCell ref="B1:D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'DYNAMIC BLOCK PARMATER'!$O$5:$O$25</xm:f>
          </x14:formula1>
          <xm:sqref>C4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4:Q29"/>
  <sheetViews>
    <sheetView workbookViewId="0">
      <selection activeCell="L5" sqref="L5"/>
    </sheetView>
  </sheetViews>
  <sheetFormatPr defaultRowHeight="14.4" x14ac:dyDescent="0.3"/>
  <cols>
    <col min="2" max="2" width="32.77734375" customWidth="1"/>
    <col min="3" max="3" width="21.5546875" style="1" customWidth="1"/>
    <col min="4" max="4" width="16.88671875" style="1" customWidth="1"/>
    <col min="5" max="5" width="19.88671875" style="1" bestFit="1" customWidth="1"/>
    <col min="6" max="6" width="12.6640625" bestFit="1" customWidth="1"/>
    <col min="7" max="7" width="13.21875" bestFit="1" customWidth="1"/>
    <col min="8" max="8" width="13" customWidth="1"/>
    <col min="9" max="9" width="19.77734375" style="37" bestFit="1" customWidth="1"/>
    <col min="10" max="10" width="12.6640625" style="37" bestFit="1" customWidth="1"/>
    <col min="11" max="11" width="13.21875" style="37" bestFit="1" customWidth="1"/>
    <col min="12" max="12" width="12.109375" style="37" bestFit="1" customWidth="1"/>
    <col min="15" max="15" width="17.21875" bestFit="1" customWidth="1"/>
    <col min="16" max="16" width="16.21875" bestFit="1" customWidth="1"/>
  </cols>
  <sheetData>
    <row r="4" spans="2:17" ht="18" x14ac:dyDescent="0.35">
      <c r="B4" s="34" t="s">
        <v>35</v>
      </c>
      <c r="C4" s="38" t="s">
        <v>36</v>
      </c>
      <c r="D4" s="38" t="s">
        <v>37</v>
      </c>
      <c r="E4" s="38" t="s">
        <v>44</v>
      </c>
      <c r="F4" s="34" t="s">
        <v>39</v>
      </c>
      <c r="G4" s="34" t="s">
        <v>41</v>
      </c>
      <c r="H4" s="39" t="s">
        <v>46</v>
      </c>
      <c r="I4" s="40" t="s">
        <v>40</v>
      </c>
      <c r="J4" s="40" t="s">
        <v>39</v>
      </c>
      <c r="K4" s="40" t="s">
        <v>41</v>
      </c>
      <c r="L4" s="41" t="s">
        <v>46</v>
      </c>
      <c r="O4" s="36" t="s">
        <v>30</v>
      </c>
      <c r="P4" s="36" t="s">
        <v>29</v>
      </c>
      <c r="Q4" s="37"/>
    </row>
    <row r="5" spans="2:17" x14ac:dyDescent="0.3">
      <c r="B5" s="32" t="s">
        <v>38</v>
      </c>
      <c r="C5" s="35">
        <f>I5+L5</f>
        <v>2266.6666666666665</v>
      </c>
      <c r="D5" s="35">
        <f>E5+H5</f>
        <v>4900</v>
      </c>
      <c r="E5" s="33">
        <v>4900</v>
      </c>
      <c r="F5" s="33">
        <f>INPUT!C4-E5</f>
        <v>1600</v>
      </c>
      <c r="G5" s="33">
        <v>1600</v>
      </c>
      <c r="H5" s="33">
        <f>F5-G5</f>
        <v>0</v>
      </c>
      <c r="I5" s="35">
        <v>2100</v>
      </c>
      <c r="J5" s="35">
        <f>(INPUT!C5)-I5</f>
        <v>5900</v>
      </c>
      <c r="K5" s="35">
        <v>5400</v>
      </c>
      <c r="L5" s="35">
        <f>(J5-K5)/3</f>
        <v>166.66666666666666</v>
      </c>
      <c r="O5" s="36">
        <v>6500</v>
      </c>
      <c r="P5" s="36"/>
      <c r="Q5" s="37"/>
    </row>
    <row r="6" spans="2:17" x14ac:dyDescent="0.3">
      <c r="B6" s="32" t="s">
        <v>42</v>
      </c>
      <c r="C6" s="35">
        <f>E6+(L5/3)</f>
        <v>2155.5555555555557</v>
      </c>
      <c r="D6" s="35"/>
      <c r="E6" s="33">
        <v>2100</v>
      </c>
      <c r="F6" s="32"/>
      <c r="G6" s="32"/>
      <c r="H6" s="32"/>
      <c r="I6" s="36"/>
      <c r="J6" s="36"/>
      <c r="K6" s="36"/>
      <c r="L6" s="36"/>
      <c r="O6" s="36">
        <v>6550</v>
      </c>
      <c r="P6" s="36"/>
      <c r="Q6" s="37"/>
    </row>
    <row r="7" spans="2:17" x14ac:dyDescent="0.3">
      <c r="B7" s="32" t="s">
        <v>43</v>
      </c>
      <c r="C7" s="35"/>
      <c r="D7" s="35">
        <f>H5+E7</f>
        <v>6100</v>
      </c>
      <c r="E7" s="33">
        <v>6100</v>
      </c>
      <c r="F7" s="32"/>
      <c r="G7" s="32"/>
      <c r="H7" s="32"/>
      <c r="I7" s="36"/>
      <c r="J7" s="36"/>
      <c r="K7" s="36"/>
      <c r="L7" s="36"/>
      <c r="O7" s="36">
        <v>6600</v>
      </c>
      <c r="P7" s="36"/>
      <c r="Q7" s="37"/>
    </row>
    <row r="8" spans="2:17" x14ac:dyDescent="0.3">
      <c r="B8" s="32" t="s">
        <v>47</v>
      </c>
      <c r="C8" s="33">
        <v>2000</v>
      </c>
      <c r="D8" s="33"/>
      <c r="E8" s="33"/>
      <c r="F8" s="32"/>
      <c r="G8" s="32"/>
      <c r="H8" s="32"/>
      <c r="I8" s="36"/>
      <c r="J8" s="36"/>
      <c r="K8" s="36"/>
      <c r="L8" s="36"/>
      <c r="O8" s="36">
        <v>6650</v>
      </c>
      <c r="P8" s="36"/>
      <c r="Q8" s="37"/>
    </row>
    <row r="9" spans="2:17" x14ac:dyDescent="0.3">
      <c r="B9" s="32" t="s">
        <v>48</v>
      </c>
      <c r="C9" s="33">
        <f>INPUT!C5</f>
        <v>8000</v>
      </c>
      <c r="D9" s="33">
        <f>INPUT!C4</f>
        <v>6500</v>
      </c>
      <c r="E9" s="33"/>
      <c r="F9" s="32"/>
      <c r="G9" s="32"/>
      <c r="H9" s="32"/>
      <c r="I9" s="36"/>
      <c r="J9" s="36"/>
      <c r="K9" s="36"/>
      <c r="L9" s="36"/>
      <c r="O9" s="36">
        <v>6700</v>
      </c>
      <c r="P9" s="36"/>
      <c r="Q9" s="37"/>
    </row>
    <row r="10" spans="2:17" x14ac:dyDescent="0.3">
      <c r="B10" s="32"/>
      <c r="C10" s="33"/>
      <c r="D10" s="33"/>
      <c r="E10" s="33"/>
      <c r="F10" s="32"/>
      <c r="G10" s="32"/>
      <c r="H10" s="32"/>
      <c r="I10" s="36"/>
      <c r="J10" s="36"/>
      <c r="K10" s="36"/>
      <c r="L10" s="36"/>
      <c r="O10" s="36">
        <v>6750</v>
      </c>
      <c r="P10" s="36"/>
      <c r="Q10" s="37"/>
    </row>
    <row r="11" spans="2:17" x14ac:dyDescent="0.3">
      <c r="B11" s="32"/>
      <c r="C11" s="33"/>
      <c r="D11" s="33"/>
      <c r="E11" s="33"/>
      <c r="F11" s="32"/>
      <c r="G11" s="32"/>
      <c r="H11" s="32"/>
      <c r="I11" s="36"/>
      <c r="J11" s="36"/>
      <c r="K11" s="36"/>
      <c r="L11" s="36"/>
      <c r="O11" s="36">
        <v>6800</v>
      </c>
      <c r="P11" s="36"/>
      <c r="Q11" s="37"/>
    </row>
    <row r="12" spans="2:17" x14ac:dyDescent="0.3">
      <c r="B12" s="32"/>
      <c r="C12" s="33"/>
      <c r="D12" s="33"/>
      <c r="E12" s="33"/>
      <c r="F12" s="32"/>
      <c r="G12" s="32"/>
      <c r="H12" s="32"/>
      <c r="I12" s="36"/>
      <c r="J12" s="36"/>
      <c r="K12" s="36"/>
      <c r="L12" s="36"/>
      <c r="O12" s="36">
        <v>6850</v>
      </c>
      <c r="P12" s="36"/>
      <c r="Q12" s="37"/>
    </row>
    <row r="13" spans="2:17" x14ac:dyDescent="0.3">
      <c r="B13" s="32"/>
      <c r="C13" s="33"/>
      <c r="D13" s="33"/>
      <c r="E13" s="33"/>
      <c r="F13" s="32"/>
      <c r="G13" s="32"/>
      <c r="H13" s="32"/>
      <c r="I13" s="36"/>
      <c r="J13" s="36"/>
      <c r="K13" s="36"/>
      <c r="L13" s="36"/>
      <c r="O13" s="36">
        <v>6900</v>
      </c>
      <c r="P13" s="36"/>
      <c r="Q13" s="37"/>
    </row>
    <row r="14" spans="2:17" x14ac:dyDescent="0.3">
      <c r="B14" s="32"/>
      <c r="C14" s="33"/>
      <c r="D14" s="33"/>
      <c r="E14" s="33"/>
      <c r="F14" s="32"/>
      <c r="G14" s="32"/>
      <c r="H14" s="32"/>
      <c r="I14" s="36"/>
      <c r="J14" s="36"/>
      <c r="K14" s="36"/>
      <c r="L14" s="36"/>
      <c r="O14" s="36">
        <v>6950</v>
      </c>
      <c r="P14" s="36"/>
      <c r="Q14" s="37"/>
    </row>
    <row r="15" spans="2:17" x14ac:dyDescent="0.3">
      <c r="B15" s="32"/>
      <c r="C15" s="33"/>
      <c r="D15" s="33"/>
      <c r="E15" s="33"/>
      <c r="F15" s="32"/>
      <c r="G15" s="32"/>
      <c r="H15" s="32"/>
      <c r="I15" s="36"/>
      <c r="J15" s="36"/>
      <c r="K15" s="36"/>
      <c r="L15" s="36"/>
      <c r="O15" s="36">
        <v>7000</v>
      </c>
      <c r="P15" s="36"/>
      <c r="Q15" s="37"/>
    </row>
    <row r="16" spans="2:17" x14ac:dyDescent="0.3">
      <c r="B16" s="32"/>
      <c r="C16" s="33"/>
      <c r="D16" s="33"/>
      <c r="E16" s="33"/>
      <c r="F16" s="32"/>
      <c r="G16" s="32"/>
      <c r="H16" s="32"/>
      <c r="I16" s="36"/>
      <c r="J16" s="36"/>
      <c r="K16" s="36"/>
      <c r="L16" s="36"/>
      <c r="O16" s="36"/>
      <c r="P16" s="36"/>
      <c r="Q16" s="37"/>
    </row>
    <row r="17" spans="2:17" x14ac:dyDescent="0.3">
      <c r="B17" s="32"/>
      <c r="C17" s="33"/>
      <c r="D17" s="33"/>
      <c r="E17" s="33"/>
      <c r="F17" s="32"/>
      <c r="G17" s="32"/>
      <c r="H17" s="32"/>
      <c r="I17" s="36"/>
      <c r="J17" s="36"/>
      <c r="K17" s="36"/>
      <c r="L17" s="36"/>
      <c r="O17" s="36"/>
      <c r="P17" s="36"/>
      <c r="Q17" s="37"/>
    </row>
    <row r="18" spans="2:17" x14ac:dyDescent="0.3">
      <c r="B18" s="32"/>
      <c r="C18" s="33"/>
      <c r="D18" s="33"/>
      <c r="E18" s="33"/>
      <c r="F18" s="32"/>
      <c r="G18" s="32"/>
      <c r="H18" s="32"/>
      <c r="I18" s="36"/>
      <c r="J18" s="36"/>
      <c r="K18" s="36"/>
      <c r="L18" s="36"/>
      <c r="O18" s="36"/>
      <c r="P18" s="36"/>
      <c r="Q18" s="37"/>
    </row>
    <row r="19" spans="2:17" x14ac:dyDescent="0.3">
      <c r="B19" s="32"/>
      <c r="C19" s="33"/>
      <c r="D19" s="33"/>
      <c r="E19" s="33"/>
      <c r="F19" s="32"/>
      <c r="G19" s="32"/>
      <c r="H19" s="32"/>
      <c r="I19" s="36"/>
      <c r="J19" s="36"/>
      <c r="K19" s="36"/>
      <c r="L19" s="36"/>
      <c r="O19" s="36"/>
      <c r="P19" s="36"/>
      <c r="Q19" s="37"/>
    </row>
    <row r="20" spans="2:17" x14ac:dyDescent="0.3">
      <c r="B20" s="32"/>
      <c r="C20" s="33"/>
      <c r="D20" s="33"/>
      <c r="E20" s="33"/>
      <c r="F20" s="32"/>
      <c r="G20" s="32"/>
      <c r="H20" s="32"/>
      <c r="I20" s="36"/>
      <c r="J20" s="36"/>
      <c r="K20" s="36"/>
      <c r="L20" s="36"/>
      <c r="O20" s="36"/>
      <c r="P20" s="36"/>
      <c r="Q20" s="37"/>
    </row>
    <row r="21" spans="2:17" x14ac:dyDescent="0.3">
      <c r="B21" s="32"/>
      <c r="C21" s="33"/>
      <c r="D21" s="33"/>
      <c r="E21" s="33"/>
      <c r="F21" s="32"/>
      <c r="G21" s="32"/>
      <c r="H21" s="32"/>
      <c r="I21" s="36"/>
      <c r="J21" s="36"/>
      <c r="K21" s="36"/>
      <c r="L21" s="36"/>
      <c r="O21" s="36"/>
      <c r="P21" s="36"/>
      <c r="Q21" s="37"/>
    </row>
    <row r="22" spans="2:17" x14ac:dyDescent="0.3">
      <c r="B22" s="32"/>
      <c r="C22" s="33"/>
      <c r="D22" s="33"/>
      <c r="E22" s="33"/>
      <c r="F22" s="32"/>
      <c r="G22" s="32"/>
      <c r="H22" s="32"/>
      <c r="I22" s="36"/>
      <c r="J22" s="36"/>
      <c r="K22" s="36"/>
      <c r="L22" s="36"/>
      <c r="O22" s="36"/>
      <c r="P22" s="36"/>
      <c r="Q22" s="37"/>
    </row>
    <row r="23" spans="2:17" x14ac:dyDescent="0.3">
      <c r="B23" s="32"/>
      <c r="C23" s="33"/>
      <c r="D23" s="33"/>
      <c r="E23" s="33"/>
      <c r="F23" s="32"/>
      <c r="G23" s="32"/>
      <c r="H23" s="32"/>
      <c r="I23" s="36"/>
      <c r="J23" s="36"/>
      <c r="K23" s="36"/>
      <c r="L23" s="36"/>
      <c r="O23" s="36"/>
      <c r="P23" s="36"/>
      <c r="Q23" s="37"/>
    </row>
    <row r="24" spans="2:17" x14ac:dyDescent="0.3">
      <c r="B24" s="32"/>
      <c r="C24" s="33"/>
      <c r="D24" s="33"/>
      <c r="E24" s="33"/>
      <c r="F24" s="32"/>
      <c r="G24" s="32"/>
      <c r="H24" s="32"/>
      <c r="I24" s="36"/>
      <c r="J24" s="36"/>
      <c r="K24" s="36"/>
      <c r="L24" s="36"/>
      <c r="O24" s="36"/>
      <c r="P24" s="36"/>
      <c r="Q24" s="37"/>
    </row>
    <row r="25" spans="2:17" x14ac:dyDescent="0.3">
      <c r="B25" s="32"/>
      <c r="C25" s="33"/>
      <c r="D25" s="33"/>
      <c r="E25" s="33"/>
      <c r="F25" s="32"/>
      <c r="G25" s="32"/>
      <c r="H25" s="32"/>
      <c r="I25" s="36"/>
      <c r="J25" s="36"/>
      <c r="K25" s="36"/>
      <c r="L25" s="36"/>
      <c r="O25" s="36"/>
      <c r="P25" s="36"/>
      <c r="Q25" s="37"/>
    </row>
    <row r="26" spans="2:17" x14ac:dyDescent="0.3">
      <c r="B26" s="32"/>
      <c r="C26" s="33"/>
      <c r="D26" s="33"/>
      <c r="E26" s="33"/>
      <c r="F26" s="32"/>
      <c r="G26" s="32"/>
      <c r="H26" s="32"/>
      <c r="I26" s="36"/>
      <c r="J26" s="36"/>
      <c r="K26" s="36"/>
      <c r="L26" s="36"/>
      <c r="O26" s="36"/>
      <c r="P26" s="36"/>
      <c r="Q26" s="37"/>
    </row>
    <row r="27" spans="2:17" x14ac:dyDescent="0.3">
      <c r="B27" s="32"/>
      <c r="C27" s="33"/>
      <c r="D27" s="33"/>
      <c r="E27" s="33"/>
      <c r="F27" s="32"/>
      <c r="G27" s="32"/>
      <c r="H27" s="32"/>
      <c r="I27" s="36"/>
      <c r="J27" s="36"/>
      <c r="K27" s="36"/>
      <c r="L27" s="36"/>
      <c r="O27" s="36"/>
      <c r="P27" s="36"/>
      <c r="Q27" s="37"/>
    </row>
    <row r="29" spans="2:17" x14ac:dyDescent="0.3">
      <c r="B29" t="s">
        <v>45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OUTPUT</vt:lpstr>
      <vt:lpstr>INPUT</vt:lpstr>
      <vt:lpstr>DYNAMIC BLOCK PARMATER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Abhishek Sharma</cp:lastModifiedBy>
  <dcterms:created xsi:type="dcterms:W3CDTF">2025-07-11T18:09:03Z</dcterms:created>
  <dcterms:modified xsi:type="dcterms:W3CDTF">2026-03-29T13:50:07Z</dcterms:modified>
</cp:coreProperties>
</file>